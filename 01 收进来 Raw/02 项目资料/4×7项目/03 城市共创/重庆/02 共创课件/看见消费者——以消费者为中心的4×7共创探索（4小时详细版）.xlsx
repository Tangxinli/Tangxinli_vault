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共创概览" sheetId="1" r:id="rId3"/>
    <sheet name="共创执行流程" sheetId="2" r:id="rId4"/>
  </sheets>
  <calcPr/>
</workbook>
</file>

<file path=xl/sharedStrings.xml><?xml version="1.0" encoding="utf-8"?>
<sst xmlns="http://schemas.openxmlformats.org/spreadsheetml/2006/main" count="127" uniqueCount="127">
  <si>
    <t/>
  </si>
  <si>
    <t>看见消费者——以消费者为中心的4×7共创探索（4小时详细版）</t>
  </si>
  <si>
    <t xml:space="preserve">|  总时长：240分钟  |  </t>
  </si>
  <si>
    <t>模块</t>
  </si>
  <si>
    <t>阶段</t>
  </si>
  <si>
    <t>目标</t>
  </si>
  <si>
    <t>内容</t>
  </si>
  <si>
    <t>开始时间</t>
  </si>
  <si>
    <t>结束时间</t>
  </si>
  <si>
    <t>时长</t>
  </si>
  <si>
    <t>逐字稿指引</t>
  </si>
  <si>
    <t>人员</t>
  </si>
  <si>
    <t>产出物</t>
  </si>
  <si>
    <t>备注</t>
  </si>
  <si>
    <t>开场导入</t>
  </si>
  <si>
    <t>项目背景介绍</t>
  </si>
  <si>
    <t>1.说明今天要干什么
2.引出服务者能力体系</t>
  </si>
  <si>
    <t>各位好，我是XX。3天的紧张的课程认证后，我们终于来到了最后一个环节，还有半天的时间，大家就可以解放啦~
接下来的时间大家可以放松一点，我们更多是一个交流探索的环节，核心就是一件事：共创以消费者为中心的4×7共创探索
什么意思呢？今天在座的老师们中有很多非常优秀的一线服务者，比如说张良平老师。我们想不想自己的门店或者区域有很多像张良平老师一样的经纪人？——很想。但是培养出像张良平老师这样优秀的经纪人难不难？——很难。我们不得不承认优秀经纪人的很多能力只长在他自己身上，别人学不会、复制不了。
那么今天的共创就是一起探索，如何从当下真实的案例中把那个优秀经纪人身上那些隐性的能力拆出来，变成别人能看懂、能学习、能训练、能评估的行为标准——这件事叫做服务者能力体系共创，也就是4×7的共创。
好，这就是我们今天要做的事。但在正式开始之前，我想先请两位重要的人跟大家说几句话——对于今天咱们一起和重庆做这件事，他们的理解和分享。
首先有请花桥学堂关校分享一下~</t>
  </si>
  <si>
    <t>引导人</t>
  </si>
  <si>
    <t>—</t>
  </si>
  <si>
    <t>定调</t>
  </si>
  <si>
    <t>关校分享</t>
  </si>
  <si>
    <t>AI时代，以消费者为中心的能力重塑</t>
  </si>
  <si>
    <t>基于组织变革下，以消费者为中心重塑管理能力和顾问服务能力</t>
  </si>
  <si>
    <t>待沟通确认</t>
  </si>
  <si>
    <t>关校</t>
  </si>
  <si>
    <t>TO DO：跟进分享课件</t>
  </si>
  <si>
    <t>流程衔接</t>
  </si>
  <si>
    <t>串场</t>
  </si>
  <si>
    <t>——</t>
  </si>
  <si>
    <t>感谢关校。
老师讲了一个很关键的事——
面对一个真实的消费者，能不能把他关心的问题讲清楚、帮他做出更好的判断、解决他真正的麻烦，是我们AI时代下我们能力厂长的方向。
而支撑能力提升的学习内容，就是把当下真正懂消费者的人，脑子里的东西呈现出来，变成普通服务者可学、可练、可评的内容。
这件事，花桥学堂一直也在探索。接下来有请赵忠祥老师，讲讲他怎么看这件事。</t>
  </si>
  <si>
    <t>赵忠祥老师分享</t>
  </si>
  <si>
    <t>从城市1号位的视角分享"为什么重庆要干这件事"</t>
  </si>
  <si>
    <t>1.重庆服务者现状洞察
2.为什么今天要做这件事
3.这件事对重庆的价值</t>
  </si>
  <si>
    <t>赵忠详老师</t>
  </si>
  <si>
    <t>分享收尾</t>
  </si>
  <si>
    <t>总结分享衔接共创</t>
  </si>
  <si>
    <t>1.总结关校和赵忠祥老师分享的核心内容
2.引出今日以消费者为中心的“服务者能力体系”</t>
  </si>
  <si>
    <t>休息</t>
  </si>
  <si>
    <t>学-“以消费者为中心”</t>
  </si>
  <si>
    <t>以消费者为中心</t>
  </si>
  <si>
    <t>1.理解“以消费者为中心”</t>
  </si>
  <si>
    <t>学-7个决策流程+4种能力</t>
  </si>
  <si>
    <t>1.7个决策阶段
2.4个能力：理解-判断-路径+立场</t>
  </si>
  <si>
    <t>1.说清何为7
2.说清何为4</t>
  </si>
  <si>
    <t>看见消费者，学习研究优秀案例</t>
  </si>
  <si>
    <t>1.说清如何通过4×7拆解真实案例
2.明确产出物
3.共创规则</t>
  </si>
  <si>
    <t>那么接下来我们就会结合真实的案例来拆解4×7；在这个过程中，我们一起体验优秀的案例中如何快速理解客户真实需求，帮助客户形成判断，并建立长期信任；</t>
  </si>
  <si>
    <t>案例筛选</t>
  </si>
  <si>
    <t>选择有研讨价值的案例</t>
  </si>
  <si>
    <t>1.小组重组
2.案例筛选
3.流程说明</t>
  </si>
  <si>
    <t>拆解任务说明</t>
  </si>
  <si>
    <t>发布案例拆解任务</t>
  </si>
  <si>
    <t>1.发布拆解任务
2.拆解案例说明
3.拆解工具/材料说明</t>
  </si>
  <si>
    <t>① 客户处于什么决策阶段？② 客户真正困惑什么？③ 经纪人理解了什么？④ 经纪人做出了什么判断？⑤ 提供了什么路径？⑥ 体现了什么立场？</t>
  </si>
  <si>
    <t>工具：28宫格（电脑-共享文档）</t>
  </si>
  <si>
    <t>小组自由拆解</t>
  </si>
  <si>
    <t>案例拆解过程</t>
  </si>
  <si>
    <t>1.进入案例拆解
2.支持人进入小组支持</t>
  </si>
  <si>
    <t>支持人下到各组参与拆解过程，解答小组问题、收集过程卡点、同步过程</t>
  </si>
  <si>
    <t>支持人</t>
  </si>
  <si>
    <t>填充完成的4×7=28宫格</t>
  </si>
  <si>
    <t>问题清单收拢</t>
  </si>
  <si>
    <t>汇总各组卡点加深项目理解与优化</t>
  </si>
  <si>
    <t>支持人在此过程支持工具拆解填写与过程清单收集</t>
  </si>
  <si>
    <t>1.过程卡点收集
2.如有需求共创人自行休息</t>
  </si>
  <si>
    <t>卡点清单</t>
  </si>
  <si>
    <t>工具：问题清单LIST（电脑-共享文档）</t>
  </si>
  <si>
    <t>小组自由交流</t>
  </si>
  <si>
    <t>从案例中提炼规律与共识</t>
  </si>
  <si>
    <t>基于案例拆解过程，共创小组自由交流</t>
  </si>
  <si>
    <t>各组自由分享：
案例感悟：① 看见消费者后，最触动的发现② 优秀经纪人的核心能力③ 哪些能力最关键④ 哪些能力最难培养⑤优秀经纪人和普通经纪人的相同和不同点</t>
  </si>
  <si>
    <t>小组共创成功展示</t>
  </si>
  <si>
    <t>各组展示拆解成果（每组5min）</t>
  </si>
  <si>
    <t>各组选取1人，基于成果公开分享/展示</t>
  </si>
  <si>
    <t>每组选取1人各分享5分钟（10+5×5=25分钟）</t>
  </si>
  <si>
    <t>分享人</t>
  </si>
  <si>
    <t>各组填充完成的4×7=28宫格</t>
  </si>
  <si>
    <t>每组1位</t>
  </si>
  <si>
    <t>共创复盘</t>
  </si>
  <si>
    <t>组内复盘/个人反思</t>
  </si>
  <si>
    <t>基于案例拆解过程，从共创人的角度输出感悟</t>
  </si>
  <si>
    <t>个人应用：通过体验真实案例拆解的过程，在自己的服务/工作方向和内容中新的发现和指导</t>
  </si>
  <si>
    <t>共创人</t>
  </si>
  <si>
    <t>任务启动</t>
  </si>
  <si>
    <t>建立后续共创机制和行动方向</t>
  </si>
  <si>
    <t>1.4×7未来共创计划
2.干净语料收集平台</t>
  </si>
  <si>
    <t>1.说明未来共创计划：① 寻找优秀案例② 寻找标杆经纪人③ AI辅助分析④ 双周共创复盘机制
2.节奏：2个星期为一个阶段，提交案例收集——TGC平台公布</t>
  </si>
  <si>
    <t>总结</t>
  </si>
  <si>
    <t>全场回顾</t>
  </si>
  <si>
    <t>今日共创内容总结</t>
  </si>
  <si>
    <t>待补充</t>
  </si>
  <si>
    <t>看见消费者——以消费者为中心的4×7共创探索</t>
  </si>
  <si>
    <t>共创流程</t>
  </si>
  <si>
    <t>时间</t>
  </si>
  <si>
    <t>注意事项</t>
  </si>
  <si>
    <t>待跟进</t>
  </si>
  <si>
    <t>01 项目背景</t>
  </si>
  <si>
    <t>75min</t>
  </si>
  <si>
    <t>基于变革背景与项目意义，建立参与共识</t>
  </si>
  <si>
    <t>不讲任务、不讲指标、不讲交付物；重点共识“为什么做”</t>
  </si>
  <si>
    <t>关校分享-30min
赵总分享-30min</t>
  </si>
  <si>
    <t>02 学：理解“以消费者为中心”和“4×7”</t>
  </si>
  <si>
    <t>15min</t>
  </si>
  <si>
    <t>学-消费者视角下的决策流程
学-顾问服务的4种能力</t>
  </si>
  <si>
    <t>少讲理论，更多让管理者和讲师看见差异</t>
  </si>
  <si>
    <t>03 练：体验案例自由拆解</t>
  </si>
  <si>
    <t>105min</t>
  </si>
  <si>
    <t>以案例拆解理解流程和能力</t>
  </si>
  <si>
    <t>不陷入框架细节争论；强调框架是观察工具，不是标准答案
不纠结填表是否标准；重点在讨论和思考过程</t>
  </si>
  <si>
    <t>04 评：小组拆解分享与互评</t>
  </si>
  <si>
    <t>35min</t>
  </si>
  <si>
    <t>互相学习，看见优秀和差距</t>
  </si>
  <si>
    <t>分享发现，不是汇报案例过程</t>
  </si>
  <si>
    <t>05 总结</t>
  </si>
  <si>
    <t>10min</t>
  </si>
  <si>
    <t>收获与行动启动</t>
  </si>
  <si>
    <t>鼓励行动第一步</t>
  </si>
  <si>
    <r>
      <rPr>
        <b val="true"/>
        <i val="false"/>
        <strike val="false"/>
        <color rgb="FF1F4E79"/>
        <sz val="11"/>
        <u val="none"/>
      </rPr>
      <t>01-项目背景</t>
    </r>
    <r>
      <rPr>
        <b val="true"/>
        <i val="false"/>
        <strike val="false"/>
        <color rgb="FFDE3C36"/>
        <sz val="11"/>
        <u val="none"/>
      </rPr>
      <t>（ 75分钟）</t>
    </r>
  </si>
  <si>
    <r>
      <rPr>
        <rFont val="微软雅黑"/>
        <b val="false"/>
        <i val="false"/>
        <strike val="false"/>
        <color rgb="FF000000"/>
        <sz val="9"/>
        <u val="none"/>
      </rPr>
      <t>感谢老关。</t>
    </r>
    <r>
      <rPr>
        <rFont val="微软雅黑"/>
        <b val="false"/>
        <i val="false"/>
        <strike val="false"/>
        <color rgb="FF000000"/>
        <sz val="9"/>
        <u val="none"/>
      </rPr>
      <t xml:space="preserve">
其实关校和赵忠祥老师的分享。两位刚才的分享其实都在强调一件事——今天无论服务者还是管理者都需要思考，</t>
    </r>
    <r>
      <rPr>
        <rFont val="微软雅黑"/>
        <b val="false"/>
        <i val="false"/>
        <strike val="false"/>
        <color rgb="FFC00000"/>
        <sz val="9"/>
        <u val="none"/>
      </rPr>
      <t>在面对一个真实的消费者，能不能把他关心的问题讲清楚、帮他做出更好的判断、解决他真正的麻烦，这对当下这个行业的从业者来说至关重要</t>
    </r>
    <r>
      <rPr>
        <b val="false"/>
        <i val="false"/>
        <strike val="false"/>
        <color rgb="FF000000"/>
        <sz val="9"/>
        <u val="none"/>
      </rPr>
      <t xml:space="preserve">
接下来我们先休息10分钟，等下回来我们基于刚才的分享一起探索如何成长成为当下消费者所需要的服务者</t>
    </r>
  </si>
  <si>
    <r>
      <rPr>
        <b val="true"/>
        <i val="false"/>
        <strike val="false"/>
        <color rgb="FF1F4E79"/>
        <sz val="11"/>
        <u val="none"/>
      </rPr>
      <t>02-学：理解“以消费者为中心”和“4×7”</t>
    </r>
    <r>
      <rPr>
        <b val="true"/>
        <i val="false"/>
        <strike val="false"/>
        <color rgb="FFDE3C36"/>
        <sz val="11"/>
        <u val="none"/>
      </rPr>
      <t>（15分钟）</t>
    </r>
  </si>
  <si>
    <r>
      <rPr>
        <rFont val="微软雅黑"/>
        <b val="false"/>
        <i val="false"/>
        <strike val="false"/>
        <color rgb="FF000000"/>
        <sz val="9"/>
        <u val="none"/>
      </rPr>
      <t>刚才说到我们今天要做的是：共创</t>
    </r>
    <r>
      <rPr>
        <rFont val="微软雅黑"/>
        <b val="true"/>
        <i val="false"/>
        <strike val="false"/>
        <color rgb="FF000000"/>
        <sz val="9"/>
        <u val="none"/>
      </rPr>
      <t>以消费者为中心</t>
    </r>
    <r>
      <rPr>
        <rFont val="微软雅黑"/>
        <b val="false"/>
        <i val="false"/>
        <strike val="false"/>
        <color rgb="FF000000"/>
        <sz val="9"/>
        <u val="none"/>
      </rPr>
      <t>的</t>
    </r>
    <r>
      <rPr>
        <rFont val="微软雅黑"/>
        <b val="true"/>
        <i val="false"/>
        <strike val="false"/>
        <color rgb="FF000000"/>
        <sz val="9"/>
        <u val="none"/>
      </rPr>
      <t>4×7</t>
    </r>
    <r>
      <rPr>
        <rFont val="微软雅黑"/>
        <b val="false"/>
        <i val="false"/>
        <strike val="false"/>
        <color rgb="FF000000"/>
        <sz val="9"/>
        <u val="none"/>
      </rPr>
      <t>共创探索。这里有两个关键词，哪两个？（互动）——以消费者为中心、4×7</t>
    </r>
    <r>
      <rPr>
        <rFont val="微软雅黑"/>
        <b val="true"/>
        <i val="false"/>
        <strike val="false"/>
        <color rgb="FF000000"/>
        <sz val="9"/>
        <u val="none"/>
      </rPr>
      <t xml:space="preserve">
什么是“以消费者为中心”？</t>
    </r>
    <r>
      <rPr>
        <rFont val="微软雅黑"/>
        <b val="false"/>
        <i val="false"/>
        <strike val="false"/>
        <color rgb="FF000000"/>
        <sz val="9"/>
        <u val="none"/>
      </rPr>
      <t>以消费者为中心，不是态度更好一点，而是用消费者的决策流程来重构服务流程。</t>
    </r>
    <r>
      <rPr>
        <rFont val="微软雅黑"/>
        <b val="true"/>
        <i val="false"/>
        <strike val="false"/>
        <color rgb="FF000000"/>
        <sz val="9"/>
        <u val="none"/>
      </rPr>
      <t xml:space="preserve">
1.现象：</t>
    </r>
    <r>
      <rPr>
        <rFont val="微软雅黑"/>
        <b val="false"/>
        <i val="false"/>
        <strike val="false"/>
        <color rgb="FF000000"/>
        <sz val="9"/>
        <u val="none"/>
      </rPr>
      <t>经纪人视角看到的 VS 消费者视角看到的-背后本质：经纪人遇到的不是更多话术的问题，而是如何提供更好的决策支持。</t>
    </r>
    <r>
      <rPr>
        <rFont val="微软雅黑"/>
        <b val="true"/>
        <i val="false"/>
        <strike val="false"/>
        <color rgb="FF000000"/>
        <sz val="9"/>
        <u val="none"/>
      </rPr>
      <t xml:space="preserve">
2.本质-供需错配：</t>
    </r>
    <r>
      <rPr>
        <rFont val="微软雅黑"/>
        <b val="false"/>
        <i val="false"/>
        <strike val="false"/>
        <color rgb="FF000000"/>
        <sz val="9"/>
        <u val="none"/>
      </rPr>
      <t>客户日益增长的是深度决策支持需求，行业大量供给仍停留在撮合成交与推销服务。结论：今天经纪人面对的不是销售技巧不够，而是决策服务不够。今天最大的危险，是继续用过去的方式思考今天的问题。</t>
    </r>
    <r>
      <rPr>
        <rFont val="微软雅黑"/>
        <b val="true"/>
        <i val="false"/>
        <strike val="false"/>
        <color rgb="FF000000"/>
        <sz val="9"/>
        <u val="none"/>
      </rPr>
      <t xml:space="preserve">
3.以消费者为中心的决策流程：</t>
    </r>
    <r>
      <rPr>
        <rFont val="微软雅黑"/>
        <b val="false"/>
        <i val="false"/>
        <strike val="false"/>
        <color rgb="FF000000"/>
        <sz val="9"/>
        <u val="none"/>
      </rPr>
      <t>客户、业主两条线，我们今天先从客户视角决策流程的7个阶段切入来看今天能服务好一个客户，优秀经纪人的服务者能力是什么样子？——服务者的能力也就是今天所说的</t>
    </r>
    <r>
      <rPr>
        <rFont val="微软雅黑"/>
        <b val="true"/>
        <i val="false"/>
        <strike val="false"/>
        <color rgb="FF000000"/>
        <sz val="9"/>
        <u val="none"/>
      </rPr>
      <t>4×7</t>
    </r>
  </si>
  <si>
    <r>
      <rPr>
        <rFont val="微软雅黑"/>
        <b val="true"/>
        <i val="false"/>
        <strike val="false"/>
        <color rgb="FF000000"/>
        <sz val="9"/>
        <u val="none"/>
      </rPr>
      <t>为什么叫“4×7”？</t>
    </r>
    <r>
      <rPr>
        <rFont val="微软雅黑"/>
        <b val="true"/>
        <i val="false"/>
        <strike val="false"/>
        <color rgb="FF000000"/>
        <sz val="9"/>
        <u val="none"/>
      </rPr>
      <t xml:space="preserve">
1.何为7：</t>
    </r>
    <r>
      <rPr>
        <rFont val="微软雅黑"/>
        <b val="false"/>
        <i val="false"/>
        <strike val="false"/>
        <color rgb="FF000000"/>
        <sz val="9"/>
        <u val="none"/>
      </rPr>
      <t>经过刚才以消费者为中心的解读，毋庸置疑就是消费者决策流程的7个阶段。从解读得出可以得出1个结论优秀的经纪人今天他首先要具备的是，从事的层面看到背后人，消费者看到的是什么看不到的是什么，他说出口的和没说出口的需求是什么，我怎么从他的视角给出符合他诉求和利益的决策支持。</t>
    </r>
    <r>
      <rPr>
        <rFont val="微软雅黑"/>
        <b val="true"/>
        <i val="false"/>
        <strike val="false"/>
        <color rgb="FF000000"/>
        <sz val="9"/>
        <u val="none"/>
      </rPr>
      <t xml:space="preserve">
2.何为4：</t>
    </r>
    <r>
      <rPr>
        <rFont val="微软雅黑"/>
        <b val="false"/>
        <i val="false"/>
        <strike val="false"/>
        <color rgb="FF000000"/>
        <sz val="9"/>
        <u val="none"/>
      </rPr>
      <t>2从以上的描述就可以看到，经纪人今天必须要有个新的思维逻辑和能力要求：理解-判断-路径，立场，这个新的逻辑，就是4，如何理解这4个关键词（以下是解读）</t>
    </r>
    <r>
      <rPr>
        <rFont val="微软雅黑"/>
        <b val="false"/>
        <i val="false"/>
        <strike val="false"/>
        <color rgb="FFFF0000"/>
        <sz val="9"/>
        <u val="none"/>
      </rPr>
      <t xml:space="preserve">
理解-判断-路径=经纪人的能力深度——能不能看见、能不能拍板、能不能落地</t>
    </r>
    <r>
      <rPr>
        <rFont val="微软雅黑"/>
        <b val="false"/>
        <i val="false"/>
        <strike val="false"/>
        <color rgb="FFFF0000"/>
        <sz val="9"/>
        <u val="none"/>
      </rPr>
      <t xml:space="preserve">
立场=经纪人的立场强度——你在替谁说话，你在为谁服务</t>
    </r>
  </si>
  <si>
    <r>
      <rPr>
        <b val="true"/>
        <i val="false"/>
        <strike val="false"/>
        <color rgb="FF1F4E79"/>
        <sz val="11"/>
        <u val="none"/>
      </rPr>
      <t>03-练：体验案例自由拆解</t>
    </r>
    <r>
      <rPr>
        <b val="true"/>
        <i val="false"/>
        <strike val="false"/>
        <color rgb="FFDE3C36"/>
        <sz val="11"/>
        <u val="none"/>
      </rPr>
      <t>（105分钟）</t>
    </r>
  </si>
  <si>
    <r>
      <rPr>
        <rFont val="微软雅黑"/>
        <b val="true"/>
        <i val="false"/>
        <strike val="false"/>
        <color rgb="FF000000"/>
        <sz val="9"/>
        <u val="none"/>
      </rPr>
      <t>1.共创人数量及身份：</t>
    </r>
    <r>
      <rPr>
        <rFont val="微软雅黑"/>
        <b val="false"/>
        <i val="false"/>
        <strike val="false"/>
        <color rgb="FF000000"/>
        <sz val="9"/>
        <u val="none"/>
      </rPr>
      <t>共34人，分别为6名区域经理/区域总；14名商圈经理/店经理；13名综合经纪人；1名业务策略运营</t>
    </r>
    <r>
      <rPr>
        <rFont val="微软雅黑"/>
        <b val="true"/>
        <i val="false"/>
        <strike val="false"/>
        <color rgb="FF000000"/>
        <sz val="9"/>
        <u val="none"/>
      </rPr>
      <t xml:space="preserve">
2.共创人分组：</t>
    </r>
    <r>
      <rPr>
        <rFont val="微软雅黑"/>
        <b val="false"/>
        <i val="false"/>
        <strike val="false"/>
        <color rgb="FF000000"/>
        <sz val="9"/>
        <u val="none"/>
      </rPr>
      <t>共5组，每组1名区域经理/区域总/业策（最多2名）；3名圈经/店经理/（最少2名）；2名综合经纪人（最多3名）</t>
    </r>
    <r>
      <rPr>
        <rFont val="微软雅黑"/>
        <b val="true"/>
        <i val="false"/>
        <strike val="false"/>
        <color rgb="FF000000"/>
        <sz val="9"/>
        <u val="none"/>
      </rPr>
      <t xml:space="preserve">
3.案例筛选标准：</t>
    </r>
    <r>
      <rPr>
        <rFont val="微软雅黑"/>
        <b val="false"/>
        <i val="false"/>
        <strike val="false"/>
        <color rgb="FF000000"/>
        <sz val="9"/>
        <u val="none"/>
      </rPr>
      <t>完整性、真实性、代表性、升级性、可提取性、时效性...</t>
    </r>
    <r>
      <rPr>
        <rFont val="微软雅黑"/>
        <b val="false"/>
        <i val="false"/>
        <strike val="false"/>
        <color rgb="FFFF0000"/>
        <sz val="9"/>
        <u val="none"/>
      </rPr>
      <t xml:space="preserve">
流程：分组-案例标准-每人梳理案例-分享-选定案例</t>
    </r>
    <r>
      <rPr>
        <rFont val="微软雅黑"/>
        <b val="false"/>
        <i val="false"/>
        <strike val="false"/>
        <color rgb="FF000000"/>
        <sz val="9"/>
        <u val="none"/>
      </rPr>
      <t xml:space="preserve">
（PS：引导人+支持人共5人各负责1组跟进—主要负责组内任务指引、问题解答、共创状态记录）</t>
    </r>
  </si>
  <si>
    <r>
      <rPr>
        <b val="true"/>
        <i val="false"/>
        <strike val="false"/>
        <color rgb="FF1F4E79"/>
        <sz val="11"/>
        <u val="none"/>
      </rPr>
      <t>04-评：小组拆解分享与互评</t>
    </r>
    <r>
      <rPr>
        <b val="true"/>
        <i val="false"/>
        <strike val="false"/>
        <color rgb="FFDE3C36"/>
        <sz val="11"/>
        <u val="none"/>
      </rPr>
      <t>（35分钟）</t>
    </r>
  </si>
  <si>
    <r>
      <rPr>
        <b val="true"/>
        <i val="false"/>
        <strike val="false"/>
        <color rgb="FF1F4E79"/>
        <sz val="11"/>
        <u val="none"/>
      </rPr>
      <t>05-总结</t>
    </r>
    <r>
      <rPr>
        <b val="true"/>
        <i val="false"/>
        <strike val="false"/>
        <color rgb="FFDE3C36"/>
        <sz val="11"/>
        <u val="none"/>
      </rPr>
      <t>（10分钟）</t>
    </r>
  </si>
</sst>
</file>

<file path=xl/styles.xml><?xml version="1.0" encoding="utf-8"?>
<styleSheet xmlns="http://schemas.openxmlformats.org/spreadsheetml/2006/main">
  <numFmts count="1">
    <numFmt numFmtId="300" formatCode="h:mm;@"/>
  </numFmts>
  <fonts count="17">
    <font>
      <name val="等线"/>
      <charset val="134"/>
      <family val="2"/>
      <color theme="1"/>
      <sz val="10"/>
      <scheme val="minor"/>
    </font>
    <font>
      <name val="等线"/>
      <charset val="134"/>
      <color rgb="FF175CEB"/>
      <sz val="10"/>
      <u/>
      <scheme val="minor"/>
    </font>
    <font>
      <name val="Segoe UI Symbol"/>
      <family val="2"/>
      <color rgb="FF000000"/>
      <sz val="10"/>
    </font>
    <font>
      <b val="true"/>
      <color rgb="FF1F4E79"/>
      <sz val="14"/>
    </font>
    <font>
      <sz val="11"/>
    </font>
    <font>
      <b val="true"/>
      <color rgb="FF1F4E79"/>
      <sz val="11"/>
    </font>
    <font>
      <b val="true"/>
      <color rgb="FFFFFFFF"/>
      <sz val="9"/>
    </font>
    <font>
      <sz val="9"/>
    </font>
    <font>
      <b val="true"/>
      <sz val="9"/>
    </font>
    <font>
      <b val="true"/>
      <color rgb="FF000000"/>
      <sz val="9"/>
    </font>
    <font>
      <color rgb="FF000000"/>
      <sz val="9"/>
    </font>
    <font>
      <color rgb="FF000000"/>
      <sz val="11"/>
    </font>
    <font>
      <b val="true"/>
      <sz val="11"/>
    </font>
    <font>
      <b val="true"/>
    </font>
    <font/>
    <font>
      <sz val="10"/>
    </font>
    <font>
      <color rgb="FF000000"/>
    </font>
  </fonts>
  <fills count="7">
    <fill>
      <patternFill patternType="none"/>
    </fill>
    <fill>
      <patternFill patternType="gray125"/>
    </fill>
    <fill>
      <patternFill patternType="solid">
        <fgColor rgb="FF1F4E79"/>
        <bgColor auto="true"/>
      </patternFill>
    </fill>
    <fill>
      <patternFill patternType="solid">
        <fgColor rgb="FFD6E4F0"/>
        <bgColor auto="true"/>
      </patternFill>
    </fill>
    <fill>
      <patternFill patternType="solid">
        <fgColor rgb="FFE5EFFF"/>
      </patternFill>
    </fill>
    <fill>
      <patternFill patternType="none"/>
    </fill>
    <fill/>
  </fills>
  <borders count="12">
    <border>
      <left/>
      <right/>
      <top/>
      <bottom/>
      <diagonal/>
    </border>
    <border/>
    <border/>
    <border/>
    <border>
      <left style="thin">
        <color rgb="FFB4C6E7"/>
      </left>
      <right style="thin">
        <color rgb="FFB4C6E7"/>
      </right>
      <top style="thin">
        <color rgb="FFB4C6E7"/>
      </top>
      <bottom style="thin">
        <color rgb="FFB4C6E7"/>
      </bottom>
    </border>
    <border>
      <left style="thin">
        <color rgb="FF000000"/>
      </left>
      <right style="thin">
        <color rgb="FFB4C6E7"/>
      </right>
      <top style="thin">
        <color rgb="FFB4C6E7"/>
      </top>
    </border>
    <border>
      <left style="thin">
        <color rgb="FF000000"/>
      </left>
      <right style="thin">
        <color rgb="FFB4C6E7"/>
      </right>
    </border>
    <border>
      <left style="thin">
        <color rgb="FF000000"/>
      </left>
      <right style="thin">
        <color rgb="FFB4C6E7"/>
      </right>
    </border>
    <border>
      <right style="thin">
        <color rgb="FFB4C6E7"/>
      </right>
      <top style="thin">
        <color rgb="FFB4C6E7"/>
      </top>
      <bottom style="thin">
        <color rgb="FFB4C6E7"/>
      </bottom>
    </border>
    <border>
      <left style="thin">
        <color rgb="FFB4C6E7"/>
      </left>
      <right style="thin">
        <color rgb="FFB4C6E7"/>
      </right>
      <top style="thin">
        <color rgb="FFB4C6E7"/>
      </top>
    </border>
    <border>
      <top style="thin">
        <color rgb="FFB4C6E7"/>
      </top>
    </border>
    <border>
      <left style="thin">
        <color rgb="FF000000"/>
      </left>
      <right style="thin">
        <color rgb="FF000000"/>
      </right>
      <top style="thin">
        <color rgb="FF000000"/>
      </top>
      <bottom style="thin">
        <color rgb="FF000000"/>
      </bottom>
    </border>
  </borders>
  <cellStyleXfs>
    <xf numFmtId="0" fontId="0" fillId="0" borderId="0" xfId="0">
      <alignment vertical="center"/>
    </xf>
  </cellStyleXfs>
  <cellXfs count="52">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0" fontId="3" fillId="0" borderId="1" xfId="0">
      <alignment horizontal="center" vertical="center" textRotation="0" wrapText="true"/>
    </xf>
    <xf fontId="0" fillId="0" borderId="2" xfId="0">
      <alignment vertical="center"/>
    </xf>
    <xf fontId="0" fillId="0" borderId="3" xfId="0">
      <alignment vertical="center"/>
    </xf>
    <xf fontId="4" fillId="0" borderId="0" xfId="0">
      <alignment vertical="bottom" textRotation="0"/>
    </xf>
    <xf numFmtId="0" fontId="5" fillId="0" borderId="0" xfId="0">
      <alignment horizontal="center" vertical="center" textRotation="0"/>
    </xf>
    <xf numFmtId="0" fontId="6" fillId="2" borderId="4" xfId="0">
      <alignment horizontal="left" vertical="center" textRotation="0" wrapText="true"/>
    </xf>
    <xf numFmtId="0" fontId="6" fillId="2" borderId="4" xfId="0">
      <alignment horizontal="center" vertical="center" textRotation="0" wrapText="true"/>
    </xf>
    <xf numFmtId="300" fontId="6" fillId="2" borderId="4" xfId="0">
      <alignment horizontal="center" vertical="center" textRotation="0" wrapText="true"/>
    </xf>
    <xf fontId="7" fillId="0" borderId="0" xfId="0">
      <alignment vertical="bottom" textRotation="0"/>
    </xf>
    <xf numFmtId="0" fontId="5" fillId="3" borderId="5" xfId="0">
      <alignment horizontal="left" vertical="top" textRotation="0" wrapText="true"/>
    </xf>
    <xf numFmtId="0" fontId="8" fillId="0" borderId="4" xfId="0">
      <alignment horizontal="center" vertical="center" textRotation="0" wrapText="true"/>
    </xf>
    <xf numFmtId="0" fontId="7" fillId="0" borderId="4" xfId="0">
      <alignment vertical="center" textRotation="0" wrapText="true"/>
    </xf>
    <xf numFmtId="300" fontId="7" fillId="0" borderId="4" xfId="0">
      <alignment horizontal="center" vertical="center" textRotation="0" wrapText="true"/>
    </xf>
    <xf numFmtId="20" fontId="7" fillId="0" borderId="4" xfId="0">
      <alignment horizontal="center" vertical="center" textRotation="0" wrapText="true"/>
    </xf>
    <xf fontId="0" fillId="0" borderId="6" xfId="0">
      <alignment vertical="center"/>
    </xf>
    <xf numFmtId="0" fontId="7" fillId="4" borderId="4" xfId="0">
      <alignment vertical="center" textRotation="0" wrapText="true"/>
    </xf>
    <xf numFmtId="0" fontId="8" fillId="0" borderId="4" xfId="0">
      <alignment vertical="center" textRotation="0" wrapText="true"/>
    </xf>
    <xf fontId="7" fillId="0" borderId="4" xfId="0">
      <alignment vertical="center" textRotation="0" wrapText="true"/>
    </xf>
    <xf fontId="0" fillId="0" borderId="7" xfId="0">
      <alignment vertical="center"/>
    </xf>
    <xf numFmtId="0" fontId="9" fillId="5" borderId="8" xfId="0">
      <alignment horizontal="center" vertical="center" textRotation="0" wrapText="true"/>
    </xf>
    <xf numFmtId="0" fontId="10" fillId="5" borderId="4" xfId="0">
      <alignment vertical="center" textRotation="0" wrapText="true"/>
    </xf>
    <xf numFmtId="300" fontId="7" fillId="6" borderId="4" xfId="0">
      <alignment horizontal="center" vertical="center" textRotation="0" wrapText="true"/>
    </xf>
    <xf numFmtId="300" fontId="10" fillId="5" borderId="4" xfId="0">
      <alignment horizontal="center" vertical="center" textRotation="0" wrapText="true"/>
    </xf>
    <xf numFmtId="300" fontId="10" fillId="5" borderId="4" xfId="0">
      <alignment vertical="center" textRotation="0" wrapText="true"/>
    </xf>
    <xf fontId="10" fillId="5" borderId="4" xfId="0">
      <alignment vertical="center" textRotation="0" wrapText="true"/>
    </xf>
    <xf fontId="11" fillId="5" borderId="0" xfId="0">
      <alignment vertical="bottom" textRotation="0"/>
    </xf>
    <xf numFmtId="0" fontId="5" fillId="3" borderId="9" xfId="0">
      <alignment horizontal="left" vertical="top" textRotation="0" wrapText="true"/>
    </xf>
    <xf numFmtId="0" fontId="8" fillId="0" borderId="8" xfId="0">
      <alignment horizontal="center" vertical="center" textRotation="0" wrapText="true"/>
    </xf>
    <xf fontId="0" fillId="0" borderId="9" xfId="0">
      <alignment vertical="center"/>
    </xf>
    <xf numFmtId="0" fontId="5" fillId="3" borderId="10" xfId="0">
      <alignment horizontal="left" vertical="top" textRotation="0" wrapText="true"/>
    </xf>
    <xf fontId="0" fillId="0" borderId="10" xfId="0">
      <alignment vertical="center"/>
    </xf>
    <xf fontId="8" fillId="0" borderId="4" xfId="0">
      <alignment vertical="center" textRotation="0" wrapText="true"/>
    </xf>
    <xf numFmtId="0" fontId="5" fillId="3" borderId="0" xfId="0">
      <alignment horizontal="left" vertical="top" textRotation="0" wrapText="true"/>
    </xf>
    <xf fontId="12" fillId="0" borderId="11" xfId="0">
      <alignment horizontal="center" vertical="center"/>
    </xf>
    <xf fontId="0" fillId="0" borderId="11" xfId="0">
      <alignment vertical="center"/>
    </xf>
    <xf numFmtId="0" fontId="13" fillId="0" borderId="11" xfId="0">
      <alignment horizontal="center" vertical="center" textRotation="0" indent="0" justifyLastLine="false" shrinkToFit="false"/>
    </xf>
    <xf numFmtId="0" fontId="13" fillId="0" borderId="11" xfId="0">
      <alignment horizontal="center" vertical="center" textRotation="0" wrapText="true" indent="0" justifyLastLine="false" shrinkToFit="false"/>
    </xf>
    <xf numFmtId="0" fontId="14" fillId="0" borderId="11" xfId="0">
      <alignment horizontal="left" vertical="center" textRotation="0" indent="0" justifyLastLine="false" shrinkToFit="false"/>
    </xf>
    <xf numFmtId="0" fontId="0" fillId="0" borderId="11" xfId="0">
      <alignment horizontal="center" vertical="center" textRotation="0" indent="0" justifyLastLine="false" shrinkToFit="false"/>
    </xf>
    <xf numFmtId="0" fontId="0" fillId="0" borderId="11" xfId="0">
      <alignment vertical="center" textRotation="0" wrapText="true" indent="0" justifyLastLine="false" shrinkToFit="false"/>
    </xf>
    <xf numFmtId="0" fontId="15" fillId="0" borderId="11" xfId="0">
      <alignment horizontal="center" vertical="center" textRotation="0" wrapText="true" indent="0" justifyLastLine="false" shrinkToFit="false"/>
    </xf>
    <xf numFmtId="0" fontId="14" fillId="0" borderId="11" xfId="0">
      <alignment horizontal="left" vertical="center" textRotation="0" wrapText="true" indent="0" justifyLastLine="false" shrinkToFit="false"/>
    </xf>
    <xf numFmtId="0" fontId="15" fillId="0" borderId="11" xfId="0">
      <alignment vertical="center" textRotation="0" wrapText="true" indent="0" justifyLastLine="false" shrinkToFit="false"/>
    </xf>
    <xf fontId="0" fillId="0" borderId="11" xfId="0">
      <alignment vertical="center"/>
    </xf>
    <xf fontId="0" fillId="0" borderId="0" xfId="0">
      <alignment vertical="center" wrapText="true"/>
    </xf>
    <xf fontId="16" fillId="5" borderId="0" xfId="0">
      <alignment vertical="center"/>
    </xf>
    <xf fontId="0" fillId="0" borderId="0" xfId="0">
      <alignment horizontal="left" vertical="center"/>
    </xf>
    <xf fontId="0" fillId="0" borderId="0" xfId="0">
      <alignment horizontal="center" vertical="center"/>
    </xf>
  </cellXfs>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2" Type="http://schemas.openxmlformats.org/officeDocument/2006/relationships/styles" Target="styles.xml" /><Relationship Id="rId3" Type="http://schemas.openxmlformats.org/officeDocument/2006/relationships/worksheet" Target="worksheets/sheet1.xml" /><Relationship Id="rId0"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sheet1.xml><?xml version="1.0" encoding="utf-8"?>
<worksheet xmlns="http://schemas.openxmlformats.org/spreadsheetml/2006/main">
  <sheetPr codeName="共创概览">
    <tabColor/>
  </sheetPr>
  <dimension ref="E9"/>
  <sheetViews>
    <sheetView showGridLines="true" workbookViewId="0"/>
  </sheetViews>
  <sheetFormatPr baseColWidth="13" defaultRowHeight="18" customHeight="true"/>
  <cols>
    <col min="1" max="1" width="42.5039" customWidth="true"/>
    <col min="3" max="3" width="37.5039" style="48" customWidth="true"/>
    <col min="4" max="4" width="38.4531" style="48" customWidth="true"/>
    <col min="5" max="5" width="22.2617" customWidth="true"/>
  </cols>
  <sheetData>
    <row r="3" spans="1:5">
      <c r="A3" s="37" t="s">
        <v>92</v>
      </c>
      <c r="B3" s="38" t="s"/>
      <c r="C3" s="38" t="s"/>
      <c r="D3" s="38" t="s"/>
      <c r="E3" s="38" t="s"/>
    </row>
    <row r="4" spans="1:5">
      <c r="A4" s="39" t="s">
        <v>93</v>
      </c>
      <c r="B4" s="39" t="s">
        <v>94</v>
      </c>
      <c r="C4" s="40" t="s">
        <v>5</v>
      </c>
      <c r="D4" s="40" t="s">
        <v>95</v>
      </c>
      <c r="E4" s="39" t="s">
        <v>96</v>
      </c>
    </row>
    <row r="5" spans="1:5">
      <c r="A5" s="41" t="s">
        <v>97</v>
      </c>
      <c r="B5" s="42" t="s">
        <v>98</v>
      </c>
      <c r="C5" s="43" t="s">
        <v>99</v>
      </c>
      <c r="D5" s="43" t="s">
        <v>100</v>
      </c>
      <c r="E5" s="44" t="s">
        <v>101</v>
      </c>
    </row>
    <row r="6" spans="1:5">
      <c r="A6" s="45" t="s">
        <v>102</v>
      </c>
      <c r="B6" s="42" t="s">
        <v>103</v>
      </c>
      <c r="C6" s="46" t="s">
        <v>104</v>
      </c>
      <c r="D6" s="43" t="s">
        <v>105</v>
      </c>
      <c r="E6" s="47" t="s"/>
    </row>
    <row r="7" spans="1:5">
      <c r="A7" s="45" t="s">
        <v>106</v>
      </c>
      <c r="B7" s="42" t="s">
        <v>107</v>
      </c>
      <c r="C7" s="43" t="s">
        <v>108</v>
      </c>
      <c r="D7" s="46" t="s">
        <v>109</v>
      </c>
      <c r="E7" s="47" t="s"/>
    </row>
    <row r="8" spans="1:5">
      <c r="A8" s="45" t="s">
        <v>110</v>
      </c>
      <c r="B8" s="42" t="s">
        <v>111</v>
      </c>
      <c r="C8" s="43" t="s">
        <v>112</v>
      </c>
      <c r="D8" s="43" t="s">
        <v>113</v>
      </c>
      <c r="E8" s="47" t="s"/>
    </row>
    <row r="9" spans="1:5">
      <c r="A9" s="41" t="s">
        <v>114</v>
      </c>
      <c r="B9" s="42" t="s">
        <v>115</v>
      </c>
      <c r="C9" s="43" t="s">
        <v>116</v>
      </c>
      <c r="D9" s="43" t="s">
        <v>117</v>
      </c>
      <c r="E9" s="47" t="s"/>
    </row>
  </sheetData>
  <mergeCells count="1">
    <mergeCell ref="A3:E3"/>
  </mergeCells>
</worksheet>
</file>

<file path=xl/worksheets/sheet2.xml><?xml version="1.0" encoding="utf-8"?>
<worksheet xmlns="http://schemas.openxmlformats.org/spreadsheetml/2006/main">
  <sheetPr codeName="共创执行流程"/>
  <dimension ref="L21"/>
  <sheetViews>
    <sheetView showGridLines="true" workbookViewId="0"/>
  </sheetViews>
  <cols>
    <col min="1" max="1" width="15.6406" style="50" customWidth="true"/>
    <col min="2" max="2" width="13.2109" customWidth="true"/>
    <col min="3" max="3" width="14.5625" customWidth="true"/>
    <col min="4" max="4" width="25.2344" customWidth="true"/>
    <col min="5" max="5" width="12.0039" style="51" customWidth="true"/>
    <col min="6" max="7" width="12.8125" style="51" customWidth="true"/>
    <col min="8" max="8" width="56.1133" customWidth="true"/>
    <col min="9" max="9" width="9.30078" customWidth="true"/>
    <col min="10" max="10" width="9.71094" customWidth="true"/>
    <col min="11" max="11" width="9.03125" customWidth="true"/>
    <col min="12" max="12" width="18.7109" customWidth="true"/>
  </cols>
  <sheetData>
    <row r="1" spans="1:12">
      <c r="A1" s="4" t="s">
        <v>1</v>
      </c>
      <c r="B1" s="5" t="s"/>
      <c r="C1" s="5" t="s"/>
      <c r="D1" s="5" t="s"/>
      <c r="E1" s="5" t="s"/>
      <c r="F1" s="5" t="s"/>
      <c r="G1" s="5" t="s"/>
      <c r="H1" s="5" t="s"/>
      <c r="I1" s="5" t="s"/>
      <c r="J1" s="5" t="s"/>
      <c r="K1" s="6" t="s"/>
      <c r="L1" s="7" t="s"/>
    </row>
    <row r="2" spans="1:12">
      <c r="A2" s="8" t="s">
        <v>2</v>
      </c>
      <c r="L2" s="7" t="s"/>
    </row>
    <row r="3" spans="1:12">
      <c r="A3" s="9" t="s">
        <v>3</v>
      </c>
      <c r="B3" s="10" t="s">
        <v>4</v>
      </c>
      <c r="C3" s="10" t="s">
        <v>5</v>
      </c>
      <c r="D3" s="10" t="s">
        <v>6</v>
      </c>
      <c r="E3" s="11" t="s">
        <v>7</v>
      </c>
      <c r="F3" s="11" t="s">
        <v>8</v>
      </c>
      <c r="G3" s="10" t="s">
        <v>9</v>
      </c>
      <c r="H3" s="10" t="s">
        <v>10</v>
      </c>
      <c r="I3" s="10" t="s">
        <v>11</v>
      </c>
      <c r="J3" s="10" t="s">
        <v>12</v>
      </c>
      <c r="K3" s="10" t="s">
        <v>13</v>
      </c>
      <c r="L3" s="12" t="s"/>
    </row>
    <row r="4" spans="1:12" ht="252" customHeight="true">
      <c r="A4" s="13" t="s">
        <v>118</v>
      </c>
      <c r="B4" s="14" t="s">
        <v>14</v>
      </c>
      <c r="C4" s="15" t="s">
        <v>15</v>
      </c>
      <c r="D4" s="15" t="s">
        <v>16</v>
      </c>
      <c r="E4" s="16">
        <v>0.5625</v>
      </c>
      <c r="F4" s="16">
        <f>=E4+G4</f>
        <v>0.563888888888889</v>
      </c>
      <c r="G4" s="17">
        <v>0.001388888888889</v>
      </c>
      <c r="H4" s="15" t="s">
        <v>17</v>
      </c>
      <c r="I4" s="15" t="s">
        <v>18</v>
      </c>
      <c r="J4" s="15" t="s">
        <v>19</v>
      </c>
      <c r="K4" s="15" t="s">
        <v>20</v>
      </c>
      <c r="L4" s="7" t="s"/>
    </row>
    <row r="5" spans="1:12" ht="60" customHeight="true">
      <c r="A5" s="18" t="s"/>
      <c r="B5" s="14" t="s">
        <v>21</v>
      </c>
      <c r="C5" s="19" t="s">
        <v>22</v>
      </c>
      <c r="D5" s="19" t="s">
        <v>23</v>
      </c>
      <c r="E5" s="16">
        <f>=F4</f>
        <v>0.563888888888889</v>
      </c>
      <c r="F5" s="16">
        <f>=E5+G5</f>
        <v>0.584722222222223</v>
      </c>
      <c r="G5" s="17">
        <v>0.020833333333334</v>
      </c>
      <c r="H5" s="20" t="s">
        <v>24</v>
      </c>
      <c r="I5" s="21" t="s">
        <v>25</v>
      </c>
      <c r="J5" s="21" t="s">
        <v>26</v>
      </c>
      <c r="K5" s="21" t="s"/>
      <c r="L5" s="7" t="s"/>
    </row>
    <row r="6" spans="1:12" ht="96" customHeight="true">
      <c r="A6" s="18" t="s"/>
      <c r="B6" s="14" t="s">
        <v>27</v>
      </c>
      <c r="C6" s="15" t="s">
        <v>28</v>
      </c>
      <c r="D6" s="20" t="s">
        <v>29</v>
      </c>
      <c r="E6" s="16">
        <f>=F5</f>
        <v>0.584722222222223</v>
      </c>
      <c r="F6" s="16">
        <f>=E6+G6</f>
        <v>0.585416666666668</v>
      </c>
      <c r="G6" s="17">
        <v>0.000694444444445</v>
      </c>
      <c r="H6" s="15" t="s">
        <v>30</v>
      </c>
      <c r="I6" s="21" t="s">
        <v>18</v>
      </c>
      <c r="J6" s="21" t="s"/>
      <c r="K6" s="21" t="s"/>
      <c r="L6" s="7" t="s"/>
    </row>
    <row r="7" spans="1:12">
      <c r="A7" s="18" t="s"/>
      <c r="B7" s="14" t="s">
        <v>31</v>
      </c>
      <c r="C7" s="19" t="s">
        <v>32</v>
      </c>
      <c r="D7" s="19" t="s">
        <v>33</v>
      </c>
      <c r="E7" s="16">
        <f>=F6</f>
        <v>0.585416666666668</v>
      </c>
      <c r="F7" s="16">
        <f>=E7+G7</f>
        <v>0.606250000000002</v>
      </c>
      <c r="G7" s="17">
        <v>0.020833333333334</v>
      </c>
      <c r="H7" s="20" t="s">
        <v>24</v>
      </c>
      <c r="I7" s="21" t="s">
        <v>34</v>
      </c>
      <c r="J7" s="21" t="s">
        <v>26</v>
      </c>
      <c r="K7" s="21" t="s"/>
      <c r="L7" s="7" t="s"/>
    </row>
    <row r="8" spans="1:12">
      <c r="A8" s="18" t="s"/>
      <c r="B8" s="14" t="s">
        <v>35</v>
      </c>
      <c r="C8" s="15" t="s">
        <v>36</v>
      </c>
      <c r="D8" s="15" t="s">
        <v>37</v>
      </c>
      <c r="E8" s="16">
        <f>=F7</f>
        <v>0.606250000000002</v>
      </c>
      <c r="F8" s="16">
        <f>=E8+G8</f>
        <v>0.607638888888891</v>
      </c>
      <c r="G8" s="17">
        <v>0.001388888888889</v>
      </c>
      <c r="H8" s="21" t="s">
        <v>119</v>
      </c>
      <c r="I8" s="21" t="s">
        <v>18</v>
      </c>
      <c r="J8" s="21" t="s"/>
      <c r="K8" s="21" t="s"/>
      <c r="L8" s="7" t="s"/>
    </row>
    <row r="9" spans="1:12" s="49" customFormat="true">
      <c r="A9" s="22" t="s"/>
      <c r="B9" s="23" t="s">
        <v>38</v>
      </c>
      <c r="C9" s="24" t="s">
        <v>29</v>
      </c>
      <c r="D9" s="24" t="s">
        <v>29</v>
      </c>
      <c r="E9" s="25">
        <f>=F8</f>
        <v>0.607638888888891</v>
      </c>
      <c r="F9" s="25">
        <f>=E9+G9</f>
        <v>0.614583333333336</v>
      </c>
      <c r="G9" s="26">
        <v>0.006944444444445</v>
      </c>
      <c r="H9" s="27" t="s">
        <v>29</v>
      </c>
      <c r="I9" s="28" t="s"/>
      <c r="J9" s="28" t="s"/>
      <c r="K9" s="28" t="s"/>
      <c r="L9" s="29" t="s"/>
    </row>
    <row r="10" spans="1:12">
      <c r="A10" s="30" t="s">
        <v>120</v>
      </c>
      <c r="B10" s="31" t="s">
        <v>39</v>
      </c>
      <c r="C10" s="15" t="s">
        <v>40</v>
      </c>
      <c r="D10" s="15" t="s">
        <v>41</v>
      </c>
      <c r="E10" s="16">
        <f>=F9</f>
        <v>0.614583333333336</v>
      </c>
      <c r="F10" s="16">
        <f>=E10+G10</f>
        <v>0.621527777777781</v>
      </c>
      <c r="G10" s="17">
        <v>0.006944444444445</v>
      </c>
      <c r="H10" s="21" t="s">
        <v>121</v>
      </c>
      <c r="I10" s="21" t="s">
        <v>18</v>
      </c>
      <c r="J10" s="21" t="s"/>
      <c r="K10" s="21" t="s"/>
      <c r="L10" s="7" t="s"/>
    </row>
    <row r="11" spans="1:12">
      <c r="A11" s="32" t="s"/>
      <c r="B11" s="31" t="s">
        <v>42</v>
      </c>
      <c r="C11" s="15" t="s">
        <v>43</v>
      </c>
      <c r="D11" s="15" t="s">
        <v>44</v>
      </c>
      <c r="E11" s="16">
        <f>=F10</f>
        <v>0.621527777777781</v>
      </c>
      <c r="F11" s="16">
        <f>=E11+G11</f>
        <v>0.625000000000004</v>
      </c>
      <c r="G11" s="17">
        <v>0.003472222222223</v>
      </c>
      <c r="H11" s="21" t="s">
        <v>122</v>
      </c>
      <c r="I11" s="21" t="s">
        <v>18</v>
      </c>
      <c r="J11" s="21" t="s"/>
      <c r="K11" s="21" t="s"/>
      <c r="L11" s="7" t="s"/>
    </row>
    <row r="12" spans="1:12">
      <c r="A12" s="33" t="s">
        <v>123</v>
      </c>
      <c r="B12" s="14" t="s">
        <v>27</v>
      </c>
      <c r="C12" s="15" t="s">
        <v>45</v>
      </c>
      <c r="D12" s="15" t="s">
        <v>46</v>
      </c>
      <c r="E12" s="16">
        <f>=F11</f>
        <v>0.625000000000004</v>
      </c>
      <c r="F12" s="16">
        <f>=E12+G12</f>
        <v>0.628472222222227</v>
      </c>
      <c r="G12" s="17">
        <v>0.003472222222223</v>
      </c>
      <c r="H12" s="15" t="s">
        <v>47</v>
      </c>
      <c r="I12" s="21" t="s">
        <v>18</v>
      </c>
      <c r="J12" s="21" t="s"/>
      <c r="K12" s="21" t="s"/>
      <c r="L12" s="7" t="s"/>
    </row>
    <row r="13" spans="1:12">
      <c r="A13" s="34" t="s"/>
      <c r="B13" s="31" t="s">
        <v>48</v>
      </c>
      <c r="C13" s="15" t="s">
        <v>49</v>
      </c>
      <c r="D13" s="15" t="s">
        <v>50</v>
      </c>
      <c r="E13" s="16">
        <f>=F12</f>
        <v>0.628472222222227</v>
      </c>
      <c r="F13" s="16">
        <f>=E13+G13</f>
        <v>0.638888888888894</v>
      </c>
      <c r="G13" s="17">
        <v>0.010416666666667</v>
      </c>
      <c r="H13" s="35" t="s">
        <v>124</v>
      </c>
      <c r="I13" s="21" t="s">
        <v>18</v>
      </c>
      <c r="J13" s="21" t="s"/>
      <c r="K13" s="21" t="s"/>
      <c r="L13" s="7" t="s"/>
    </row>
    <row r="14" spans="1:12">
      <c r="A14" s="34" t="s"/>
      <c r="B14" s="31" t="s">
        <v>51</v>
      </c>
      <c r="C14" s="15" t="s">
        <v>52</v>
      </c>
      <c r="D14" s="15" t="s">
        <v>53</v>
      </c>
      <c r="E14" s="16">
        <f>=F13</f>
        <v>0.638888888888894</v>
      </c>
      <c r="F14" s="16">
        <f>=E14+G14</f>
        <v>0.642361111111117</v>
      </c>
      <c r="G14" s="17">
        <v>0.003472222222223</v>
      </c>
      <c r="H14" s="15" t="s">
        <v>54</v>
      </c>
      <c r="I14" s="21" t="s">
        <v>18</v>
      </c>
      <c r="J14" s="15" t="s"/>
      <c r="K14" s="21" t="s">
        <v>55</v>
      </c>
      <c r="L14" s="7" t="s"/>
    </row>
    <row r="15" spans="1:12">
      <c r="A15" s="34" t="s"/>
      <c r="B15" s="31" t="s">
        <v>56</v>
      </c>
      <c r="C15" s="15" t="s">
        <v>57</v>
      </c>
      <c r="D15" s="15" t="s">
        <v>58</v>
      </c>
      <c r="E15" s="16">
        <f>=F14</f>
        <v>0.642361111111117</v>
      </c>
      <c r="F15" s="16">
        <f>=E15+G15</f>
        <v>0.697916666666673</v>
      </c>
      <c r="G15" s="17">
        <v>0.055555555555556</v>
      </c>
      <c r="H15" s="15" t="s">
        <v>59</v>
      </c>
      <c r="I15" s="15" t="s">
        <v>60</v>
      </c>
      <c r="J15" s="21" t="s">
        <v>61</v>
      </c>
      <c r="K15" s="21" t="s"/>
      <c r="L15" s="7" t="s"/>
    </row>
    <row r="16" spans="1:12">
      <c r="A16" s="34" t="s"/>
      <c r="B16" s="31" t="s">
        <v>62</v>
      </c>
      <c r="C16" s="15" t="s">
        <v>63</v>
      </c>
      <c r="D16" s="15" t="s">
        <v>64</v>
      </c>
      <c r="E16" s="16">
        <f>=F15</f>
        <v>0.697916666666673</v>
      </c>
      <c r="F16" s="16">
        <f>=E16+G16</f>
        <v>0.697916666666673</v>
      </c>
      <c r="G16" s="17">
        <v>0</v>
      </c>
      <c r="H16" s="15" t="s">
        <v>65</v>
      </c>
      <c r="I16" s="15" t="s">
        <v>60</v>
      </c>
      <c r="J16" s="15" t="s">
        <v>66</v>
      </c>
      <c r="K16" s="21" t="s">
        <v>67</v>
      </c>
      <c r="L16" s="7" t="s"/>
    </row>
    <row r="17" spans="1:12">
      <c r="A17" s="33" t="s">
        <v>125</v>
      </c>
      <c r="B17" s="14" t="s">
        <v>68</v>
      </c>
      <c r="C17" s="15" t="s">
        <v>69</v>
      </c>
      <c r="D17" s="15" t="s">
        <v>70</v>
      </c>
      <c r="E17" s="16">
        <f>=F16</f>
        <v>0.697916666666673</v>
      </c>
      <c r="F17" s="16">
        <f>=E17+G17</f>
        <v>0.704861111111118</v>
      </c>
      <c r="G17" s="17">
        <v>0.006944444444445</v>
      </c>
      <c r="H17" s="15" t="s">
        <v>71</v>
      </c>
      <c r="I17" s="15" t="s">
        <v>18</v>
      </c>
      <c r="J17" s="15" t="s"/>
      <c r="K17" s="21" t="s"/>
      <c r="L17" s="7" t="s"/>
    </row>
    <row r="18" spans="1:12">
      <c r="A18" s="34" t="s"/>
      <c r="B18" s="14" t="s">
        <v>72</v>
      </c>
      <c r="C18" s="15" t="s">
        <v>73</v>
      </c>
      <c r="D18" s="15" t="s">
        <v>74</v>
      </c>
      <c r="E18" s="16">
        <f>=F17</f>
        <v>0.704861111111118</v>
      </c>
      <c r="F18" s="16">
        <f>=E18+G18</f>
        <v>0.72222222222223</v>
      </c>
      <c r="G18" s="17">
        <v>0.017361111111112</v>
      </c>
      <c r="H18" s="15" t="s">
        <v>75</v>
      </c>
      <c r="I18" s="15" t="s">
        <v>76</v>
      </c>
      <c r="J18" s="21" t="s">
        <v>77</v>
      </c>
      <c r="K18" s="21" t="s">
        <v>78</v>
      </c>
      <c r="L18" s="7" t="s"/>
    </row>
    <row r="19" spans="1:12">
      <c r="A19" s="36" t="s">
        <v>126</v>
      </c>
      <c r="B19" s="14" t="s">
        <v>79</v>
      </c>
      <c r="C19" s="15" t="s">
        <v>80</v>
      </c>
      <c r="D19" s="15" t="s">
        <v>81</v>
      </c>
      <c r="E19" s="16">
        <f>=F18</f>
        <v>0.72222222222223</v>
      </c>
      <c r="F19" s="16">
        <f>=E19+G19</f>
        <v>0.725694444444453</v>
      </c>
      <c r="G19" s="17">
        <v>0.003472222222223</v>
      </c>
      <c r="H19" s="15" t="s">
        <v>82</v>
      </c>
      <c r="I19" s="15" t="s">
        <v>83</v>
      </c>
      <c r="J19" s="15" t="s"/>
      <c r="K19" s="21" t="s"/>
      <c r="L19" s="7" t="s"/>
    </row>
    <row r="20" spans="2:12">
      <c r="B20" s="14" t="s">
        <v>84</v>
      </c>
      <c r="C20" s="15" t="s">
        <v>85</v>
      </c>
      <c r="D20" s="15" t="s">
        <v>86</v>
      </c>
      <c r="E20" s="16">
        <f>=F19</f>
        <v>0.725694444444453</v>
      </c>
      <c r="F20" s="16">
        <f>=E20+G20</f>
        <v>0.727777777777787</v>
      </c>
      <c r="G20" s="17">
        <v>0.002083333333334</v>
      </c>
      <c r="H20" s="15" t="s">
        <v>87</v>
      </c>
      <c r="I20" s="21" t="s">
        <v>18</v>
      </c>
      <c r="J20" s="21" t="s"/>
      <c r="K20" s="21" t="s"/>
      <c r="L20" s="7" t="s"/>
    </row>
    <row r="21" spans="2:12">
      <c r="B21" s="14" t="s">
        <v>88</v>
      </c>
      <c r="C21" s="15" t="s">
        <v>89</v>
      </c>
      <c r="D21" s="15" t="s">
        <v>90</v>
      </c>
      <c r="E21" s="16">
        <f>=F20</f>
        <v>0.727777777777787</v>
      </c>
      <c r="F21" s="16">
        <f>=E21+G21</f>
        <v>0.729166666666676</v>
      </c>
      <c r="G21" s="17">
        <v>0.001388888888889</v>
      </c>
      <c r="H21" s="15" t="s">
        <v>91</v>
      </c>
      <c r="I21" s="15" t="s">
        <v>18</v>
      </c>
      <c r="J21" s="15" t="s"/>
      <c r="K21" s="15" t="s"/>
      <c r="L21" s="7" t="s"/>
    </row>
  </sheetData>
  <mergeCells count="7">
    <mergeCell ref="A2:K2"/>
    <mergeCell ref="A10:A11"/>
    <mergeCell ref="A12:A16"/>
    <mergeCell ref="A17:A18"/>
    <mergeCell ref="A19:A21"/>
    <mergeCell ref="A1:K1"/>
    <mergeCell ref="A4:A9"/>
  </mergeCell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2026-06-13T08:50:43Z</dcterms:created>
  <dcterms:modified xsi:type="dcterms:W3CDTF">2026-06-13T08:50:43Z</dcterms:modified>
</cp:coreProperties>
</file>